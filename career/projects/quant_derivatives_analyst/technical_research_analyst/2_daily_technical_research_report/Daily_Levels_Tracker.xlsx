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 Levels" sheetId="1" state="visible" r:id="rId1"/>
    <sheet xmlns:r="http://schemas.openxmlformats.org/officeDocument/2006/relationships" name="Trade Calls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  :  1&quot;"/>
  </numFmts>
  <fonts count="6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55555"/>
      <sz val="9.5"/>
    </font>
    <font>
      <b val="1"/>
      <color rgb="00FFFFFF"/>
      <sz val="10.5"/>
    </font>
    <font>
      <b val="1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6365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Daily Levels Tracker — Pivot Points</t>
        </is>
      </c>
    </row>
    <row r="2">
      <c r="A2" s="2" t="inlineStr">
        <is>
          <t>Enter yesterday's High / Low / Close (from your charting terminal / NSE); the pivot levels calculate automatically.</t>
        </is>
      </c>
    </row>
    <row r="4">
      <c r="A4" s="3" t="inlineStr">
        <is>
          <t>Asset</t>
        </is>
      </c>
      <c r="B4" s="3" t="inlineStr">
        <is>
          <t>Symbol</t>
        </is>
      </c>
      <c r="C4" s="3" t="inlineStr">
        <is>
          <t>Prev High</t>
        </is>
      </c>
      <c r="D4" s="3" t="inlineStr">
        <is>
          <t>Prev Low</t>
        </is>
      </c>
      <c r="E4" s="3" t="inlineStr">
        <is>
          <t>Prev Close</t>
        </is>
      </c>
      <c r="F4" s="3" t="inlineStr">
        <is>
          <t>Pivot (P)</t>
        </is>
      </c>
      <c r="G4" s="3" t="inlineStr">
        <is>
          <t>R1</t>
        </is>
      </c>
      <c r="H4" s="3" t="inlineStr">
        <is>
          <t>R2</t>
        </is>
      </c>
      <c r="I4" s="3" t="inlineStr">
        <is>
          <t>S1</t>
        </is>
      </c>
      <c r="J4" s="3" t="inlineStr">
        <is>
          <t>S2</t>
        </is>
      </c>
    </row>
    <row r="5">
      <c r="A5" s="4" t="inlineStr">
        <is>
          <t>Nifty 50</t>
        </is>
      </c>
      <c r="B5" s="5" t="inlineStr">
        <is>
          <t>NSE:NIFTY</t>
        </is>
      </c>
      <c r="C5" s="6" t="n">
        <v>24120</v>
      </c>
      <c r="D5" s="6" t="n">
        <v>23980</v>
      </c>
      <c r="E5" s="6" t="n">
        <v>24050</v>
      </c>
      <c r="F5" s="6">
        <f>(C5+D5+E5)/3</f>
        <v/>
      </c>
      <c r="G5" s="6">
        <f>2*F5-D5</f>
        <v/>
      </c>
      <c r="H5" s="6">
        <f>F5+(C5-D5)</f>
        <v/>
      </c>
      <c r="I5" s="6">
        <f>2*F5-C5</f>
        <v/>
      </c>
      <c r="J5" s="6">
        <f>F5-(C5-D5)</f>
        <v/>
      </c>
    </row>
    <row r="6">
      <c r="A6" s="4" t="inlineStr">
        <is>
          <t>Bank Nifty</t>
        </is>
      </c>
      <c r="B6" s="5" t="inlineStr">
        <is>
          <t>NSE:BANKNIFTY</t>
        </is>
      </c>
      <c r="C6" s="6" t="n">
        <v>52400</v>
      </c>
      <c r="D6" s="6" t="n">
        <v>52000</v>
      </c>
      <c r="E6" s="6" t="n">
        <v>52180</v>
      </c>
      <c r="F6" s="6">
        <f>(C6+D6+E6)/3</f>
        <v/>
      </c>
      <c r="G6" s="6">
        <f>2*F6-D6</f>
        <v/>
      </c>
      <c r="H6" s="6">
        <f>F6+(C6-D6)</f>
        <v/>
      </c>
      <c r="I6" s="6">
        <f>2*F6-C6</f>
        <v/>
      </c>
      <c r="J6" s="6">
        <f>F6-(C6-D6)</f>
        <v/>
      </c>
    </row>
    <row r="7">
      <c r="A7" s="4" t="inlineStr">
        <is>
          <t>Gold (MCX)</t>
        </is>
      </c>
      <c r="B7" s="5" t="inlineStr">
        <is>
          <t>MCX:GOLD1!</t>
        </is>
      </c>
      <c r="C7" s="6" t="n">
        <v>72800</v>
      </c>
      <c r="D7" s="6" t="n">
        <v>71900</v>
      </c>
      <c r="E7" s="6" t="n">
        <v>72350</v>
      </c>
      <c r="F7" s="6">
        <f>(C7+D7+E7)/3</f>
        <v/>
      </c>
      <c r="G7" s="6">
        <f>2*F7-D7</f>
        <v/>
      </c>
      <c r="H7" s="6">
        <f>F7+(C7-D7)</f>
        <v/>
      </c>
      <c r="I7" s="6">
        <f>2*F7-C7</f>
        <v/>
      </c>
      <c r="J7" s="6">
        <f>F7-(C7-D7)</f>
        <v/>
      </c>
    </row>
    <row r="8">
      <c r="A8" s="4" t="inlineStr">
        <is>
          <t>Crude Oil (MCX)</t>
        </is>
      </c>
      <c r="B8" s="5" t="inlineStr">
        <is>
          <t>MCX:CRUDEOIL1!</t>
        </is>
      </c>
      <c r="C8" s="6" t="n">
        <v>6850</v>
      </c>
      <c r="D8" s="6" t="n">
        <v>6720</v>
      </c>
      <c r="E8" s="6" t="n">
        <v>6790</v>
      </c>
      <c r="F8" s="6">
        <f>(C8+D8+E8)/3</f>
        <v/>
      </c>
      <c r="G8" s="6">
        <f>2*F8-D8</f>
        <v/>
      </c>
      <c r="H8" s="6">
        <f>F8+(C8-D8)</f>
        <v/>
      </c>
      <c r="I8" s="6">
        <f>2*F8-C8</f>
        <v/>
      </c>
      <c r="J8" s="6">
        <f>F8-(C8-D8)</f>
        <v/>
      </c>
    </row>
    <row r="11">
      <c r="A11" s="7" t="inlineStr">
        <is>
          <t>Formula:  Pivot P = (High + Low + Close) / 3   •   R1 = 2P − Low   •   S1 = 2P − High   •   R2 = P + (High − Low)   •   S2 = P − (High − Low)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1" customWidth="1" min="3" max="3"/>
    <col width="11" customWidth="1" min="4" max="4"/>
    <col width="11" customWidth="1" min="5" max="5"/>
    <col width="14" customWidth="1" min="6" max="6"/>
    <col width="42" customWidth="1" min="7" max="7"/>
  </cols>
  <sheetData>
    <row r="1">
      <c r="A1" s="1" t="inlineStr">
        <is>
          <t>Trade Calls — entry / target / stop with auto reward:risk</t>
        </is>
      </c>
    </row>
    <row r="2">
      <c r="A2" s="2" t="inlineStr">
        <is>
          <t>Pick a View, type Entry / Stop / Target; the R:R ratio calculates. Aim for R:R ≥ 2.0.</t>
        </is>
      </c>
    </row>
    <row r="4">
      <c r="A4" s="3" t="inlineStr">
        <is>
          <t>Asset</t>
        </is>
      </c>
      <c r="B4" s="3" t="inlineStr">
        <is>
          <t>View</t>
        </is>
      </c>
      <c r="C4" s="3" t="inlineStr">
        <is>
          <t>Entry</t>
        </is>
      </c>
      <c r="D4" s="3" t="inlineStr">
        <is>
          <t>Stop-loss</t>
        </is>
      </c>
      <c r="E4" s="3" t="inlineStr">
        <is>
          <t>Target</t>
        </is>
      </c>
      <c r="F4" s="3" t="inlineStr">
        <is>
          <t>Reward : Risk</t>
        </is>
      </c>
      <c r="G4" s="3" t="inlineStr">
        <is>
          <t>Rationale</t>
        </is>
      </c>
    </row>
    <row r="5">
      <c r="A5" s="4" t="inlineStr">
        <is>
          <t>Nifty 50</t>
        </is>
      </c>
      <c r="B5" s="8" t="inlineStr">
        <is>
          <t>BUY</t>
        </is>
      </c>
      <c r="C5" s="6" t="n">
        <v>23950</v>
      </c>
      <c r="D5" s="6" t="n">
        <v>23800</v>
      </c>
      <c r="E5" s="6" t="n">
        <v>24400</v>
      </c>
      <c r="F5" s="9">
        <f>IFERROR(ABS(E5-C5)/ABS(C5-D5),"")</f>
        <v/>
      </c>
      <c r="G5" s="10" t="inlineStr">
        <is>
          <t>Above 20-DMA, RSI 58, put OI at 23800</t>
        </is>
      </c>
    </row>
    <row r="6">
      <c r="A6" s="4" t="inlineStr">
        <is>
          <t>Bank Nifty</t>
        </is>
      </c>
      <c r="B6" s="8" t="inlineStr">
        <is>
          <t>BUY</t>
        </is>
      </c>
      <c r="C6" s="6" t="n">
        <v>52200</v>
      </c>
      <c r="D6" s="6" t="n">
        <v>51700</v>
      </c>
      <c r="E6" s="6" t="n">
        <v>53000</v>
      </c>
      <c r="F6" s="9">
        <f>IFERROR(ABS(E6-C6)/ABS(C6-D6),"")</f>
        <v/>
      </c>
      <c r="G6" s="10" t="inlineStr">
        <is>
          <t>Breakout + sector leadership</t>
        </is>
      </c>
    </row>
    <row r="7">
      <c r="A7" s="4" t="inlineStr">
        <is>
          <t>Gold (MCX)</t>
        </is>
      </c>
      <c r="B7" s="8" t="inlineStr">
        <is>
          <t>HOLD</t>
        </is>
      </c>
      <c r="C7" s="6" t="n">
        <v>72350</v>
      </c>
      <c r="D7" s="6" t="n">
        <v>71500</v>
      </c>
      <c r="E7" s="6" t="n">
        <v>72800</v>
      </c>
      <c r="F7" s="9">
        <f>IFERROR(ABS(E7-C7)/ABS(C7-D7),"")</f>
        <v/>
      </c>
      <c r="G7" s="10" t="inlineStr">
        <is>
          <t>Range-bound; wait for close above 72800</t>
        </is>
      </c>
    </row>
    <row r="8">
      <c r="A8" s="4" t="inlineStr">
        <is>
          <t>Crude Oil (MCX)</t>
        </is>
      </c>
      <c r="B8" s="8" t="inlineStr">
        <is>
          <t>SELL</t>
        </is>
      </c>
      <c r="C8" s="6" t="n">
        <v>6720</v>
      </c>
      <c r="D8" s="6" t="n">
        <v>6900</v>
      </c>
      <c r="E8" s="6" t="n">
        <v>6450</v>
      </c>
      <c r="F8" s="9">
        <f>IFERROR(ABS(E8-C8)/ABS(C8-D8),"")</f>
        <v/>
      </c>
      <c r="G8" s="10" t="inlineStr">
        <is>
          <t>Below 50-DMA, bearish MACD</t>
        </is>
      </c>
    </row>
  </sheetData>
  <conditionalFormatting sqref="B5:B8">
    <cfRule type="cellIs" priority="1" operator="equal" dxfId="0">
      <formula>"BUY"</formula>
    </cfRule>
    <cfRule type="cellIs" priority="2" operator="equal" dxfId="1">
      <formula>"SELL"</formula>
    </cfRule>
    <cfRule type="cellIs" priority="3" operator="equal" dxfId="2">
      <formula>"HOLD"</formula>
    </cfRule>
  </conditionalFormatting>
  <dataValidations count="1">
    <dataValidation sqref="B5:B8" showDropDown="0" showInputMessage="0" showErrorMessage="0" allowBlank="1" type="list">
      <formula1>"BUY,SELL,HOLD"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Daily Levels Tracker — how I use it each morning</t>
        </is>
      </c>
    </row>
    <row r="2">
      <c r="A2" t="inlineStr"/>
    </row>
    <row r="3">
      <c r="A3" t="inlineStr">
        <is>
          <t>1.  Open each chart on your charting terminal / the NSE website (symbols are in the Pivot Levels sheet).</t>
        </is>
      </c>
    </row>
    <row r="4">
      <c r="A4" t="inlineStr">
        <is>
          <t>2.  Read yesterday's High, Low and Close and type them into the Pivot Levels sheet.</t>
        </is>
      </c>
    </row>
    <row r="5">
      <c r="A5" t="inlineStr">
        <is>
          <t>3.  The pivot, R1/R2 (resistance) and S1/S2 (support) calculate automatically.</t>
        </is>
      </c>
    </row>
    <row r="6">
      <c r="A6" t="inlineStr">
        <is>
          <t>4.  On the chart, mark those levels and check the trend (price vs 20/50-DMA), RSI and MACD.</t>
        </is>
      </c>
    </row>
    <row r="7">
      <c r="A7" t="inlineStr">
        <is>
          <t>5.  In the Trade Calls sheet, set a View and type Entry / Stop / Target — R:R is automatic.</t>
        </is>
      </c>
    </row>
    <row r="8">
      <c r="A8" t="inlineStr">
        <is>
          <t>6.  Snapshot the annotated chart and paste it into the morning note.</t>
        </is>
      </c>
    </row>
    <row r="9">
      <c r="A9" t="inlineStr"/>
    </row>
    <row r="10">
      <c r="A10" t="inlineStr">
        <is>
          <t>Why pivot points?  They are a standard, objective way to get intraday support/resistance from</t>
        </is>
      </c>
    </row>
    <row r="11">
      <c r="A11" t="inlineStr">
        <is>
          <t>yesterday's range — no opinion required, so two analysts get the same levels.</t>
        </is>
      </c>
    </row>
    <row r="12">
      <c r="A12" t="inlineStr">
        <is>
          <t>Why reward:risk?  A call is only worth taking if the target is meaningfully further than the stop;</t>
        </is>
      </c>
    </row>
    <row r="13">
      <c r="A13" t="inlineStr">
        <is>
          <t>I aim for at least 2:1 so winners outweigh losers even at a 50% hit-rate.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2026-06-25T18:32:30Z</dcterms:created>
  <dcterms:modified xmlns:dcterms="http://purl.org/dc/terms/" xmlns:xsi="http://www.w3.org/2001/XMLSchema-instance" xsi:type="dcterms:W3CDTF">2026-06-25T18:32:30Z</dcterms:modified>
</cp:coreProperties>
</file>